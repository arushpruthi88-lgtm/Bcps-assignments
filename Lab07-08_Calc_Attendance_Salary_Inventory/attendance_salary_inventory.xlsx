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" sheetId="1" state="visible" r:id="rId3"/>
    <sheet name="Salary" sheetId="2" state="visible" r:id="rId4"/>
    <sheet name="Invento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<sst xmlns="http://schemas.openxmlformats.org/spreadsheetml/2006/main" count="158" uniqueCount="79">
  <si>
    <t xml:space="preserve">ATTENDANCE REGISTER (P = Present, A = Absent)</t>
  </si>
  <si>
    <t xml:space="preserve">Minimum attendance %:</t>
  </si>
  <si>
    <t xml:space="preserve">Roll No</t>
  </si>
  <si>
    <t xml:space="preserve">Name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</si>
  <si>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</si>
  <si>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</si>
  <si>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</si>
  <si>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</si>
  <si>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</si>
  <si>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</si>
  <si>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</si>
  <si>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</si>
  <si>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</si>
  <si>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</si>
  <si>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Days Present</t>
  </si>
  <si>
    <t xml:space="preserve">Days Absent</t>
  </si>
  <si>
    <t xml:space="preserve">Attendance %</t>
  </si>
  <si>
    <t xml:space="preserve">Status</t>
  </si>
  <si>
    <t xml:space="preserve">Aarav Mehta</t>
  </si>
  <si>
    <t xml:space="preserve">P</t>
  </si>
  <si>
    <t xml:space="preserve">Priya Verma</t>
  </si>
  <si>
    <t xml:space="preserve">A</t>
  </si>
  <si>
    <t xml:space="preserve">Rahul Sharma</t>
  </si>
  <si>
    <t xml:space="preserve">Simran Kaur</t>
  </si>
  <si>
    <t xml:space="preserve">Karan Singh</t>
  </si>
  <si>
    <t xml:space="preserve">Neha Singh</t>
  </si>
  <si>
    <t xml:space="preserve">Manpreet Gill</t>
  </si>
  <si>
    <t xml:space="preserve">Ishita Jain</t>
  </si>
  <si>
    <t xml:space="preserve">Sample data. Edit P/A entries in C5:L12; counts, percentage and status update automatically.</t>
  </si>
  <si>
    <t xml:space="preserve">SALARY CALCULATION SHEET</t>
  </si>
  <si>
    <t xml:space="preserve">HRA % of Basic</t>
  </si>
  <si>
    <t xml:space="preserve">DA % of Basic</t>
  </si>
  <si>
    <t xml:space="preserve">PF % of Basic</t>
  </si>
  <si>
    <t xml:space="preserve">Tax % (if Gross &gt; 50000)</t>
  </si>
  <si>
    <t xml:space="preserve">Employee</t>
  </si>
  <si>
    <t xml:space="preserve">Basic</t>
  </si>
  <si>
    <t xml:space="preserve">HRA</t>
  </si>
  <si>
    <t xml:space="preserve">DA</t>
  </si>
  <si>
    <t xml:space="preserve">Allowance</t>
  </si>
  <si>
    <t xml:space="preserve">Gross Salary</t>
  </si>
  <si>
    <t xml:space="preserve">PF Deduction</t>
  </si>
  <si>
    <t xml:space="preserve">Tax</t>
  </si>
  <si>
    <t xml:space="preserve">Net Salary</t>
  </si>
  <si>
    <t xml:space="preserve">Amit Sharma</t>
  </si>
  <si>
    <t xml:space="preserve">Sunita Devi</t>
  </si>
  <si>
    <t xml:space="preserve">Rohit Verma</t>
  </si>
  <si>
    <t xml:space="preserve">Kavita Singh</t>
  </si>
  <si>
    <t xml:space="preserve">Manoj Kumar</t>
  </si>
  <si>
    <t xml:space="preserve">Pooja Gupta</t>
  </si>
  <si>
    <t xml:space="preserve">TOTAL</t>
  </si>
  <si>
    <t xml:space="preserve">Blue cells (C2:C5) are the rates; Basic and Allowance are sample inputs. All other cells are formulas.</t>
  </si>
  <si>
    <t xml:space="preserve">INVENTORY MANAGEMENT SHEET</t>
  </si>
  <si>
    <t xml:space="preserve">Item Name</t>
  </si>
  <si>
    <t xml:space="preserve">Item Code</t>
  </si>
  <si>
    <t xml:space="preserve">Opening Stock</t>
  </si>
  <si>
    <t xml:space="preserve">Purchased</t>
  </si>
  <si>
    <t xml:space="preserve">Sold</t>
  </si>
  <si>
    <t xml:space="preserve">Closing Stock</t>
  </si>
  <si>
    <t xml:space="preserve">Unit Price</t>
  </si>
  <si>
    <t xml:space="preserve">Reorder Level</t>
  </si>
  <si>
    <t xml:space="preserve">Stock Value</t>
  </si>
  <si>
    <t xml:space="preserve">Notebook</t>
  </si>
  <si>
    <t xml:space="preserve">ST001</t>
  </si>
  <si>
    <t xml:space="preserve">Ball Pen</t>
  </si>
  <si>
    <t xml:space="preserve">ST002</t>
  </si>
  <si>
    <t xml:space="preserve">Pencil Box</t>
  </si>
  <si>
    <t xml:space="preserve">ST003</t>
  </si>
  <si>
    <t xml:space="preserve">Stapler</t>
  </si>
  <si>
    <t xml:space="preserve">ST004</t>
  </si>
  <si>
    <t xml:space="preserve">A4 Paper Ream</t>
  </si>
  <si>
    <t xml:space="preserve">ST005</t>
  </si>
  <si>
    <t xml:space="preserve">Marker</t>
  </si>
  <si>
    <t xml:space="preserve">ST006</t>
  </si>
  <si>
    <t xml:space="preserve">File Folder</t>
  </si>
  <si>
    <t xml:space="preserve">ST007</t>
  </si>
  <si>
    <t xml:space="preserve">Highlighter</t>
  </si>
  <si>
    <t xml:space="preserve">ST008</t>
  </si>
  <si>
    <t xml:space="preserve">TOTAL STOCK VALUE</t>
  </si>
  <si>
    <t xml:space="preserve">Sample data. Closing = Opening + Purchased - Sold. Items at or below the reorder level are flagged.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</si>
</sst>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12" min="3" style="0" width="5"/>
    <col collapsed="false" customWidth="true" hidden="false" outlineLevel="0" max="14" min="13" style="0" width="9"/>
    <col collapsed="false" customWidth="true" hidden="false" outlineLevel="0" max="16" min="15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C2" s="3" t="n">
        <v>75</v>
      </c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customFormat="false" ht="15" hidden="false" customHeight="false" outlineLevel="0" collapsed="false">
      <c r="A5" s="5" t="n">
        <v>101</v>
      </c>
      <c r="B5" s="6" t="s">
        <v>18</v>
      </c>
      <c r="C5" s="6" t="s">
        <v>19</v>
      </c>
      <c r="D5" s="6" t="s">
        <v>19</v>
      </c>
      <c r="E5" s="6" t="s">
        <v>19</v>
      </c>
      <c r="F5" s="6" t="s">
        <v>19</v>
      </c>
      <c r="G5" s="6" t="s">
        <v>19</v>
      </c>
      <c r="H5" s="6" t="s">
        <v>19</v>
      </c>
      <c r="I5" s="6" t="s">
        <v>19</v>
      </c>
      <c r="J5" s="6" t="s">
        <v>19</v>
      </c>
      <c r="K5" s="6" t="s">
        <v>19</v>
      </c>
      <c r="L5" s="6" t="s">
        <v>19</v>
      </c>
      <c r="M5" s="6" t="n">
        <f aca="false">COUNTIF(C5:L5,"P")</f>
        <v>10</v>
      </c>
      <c r="N5" s="6" t="n">
        <f aca="false">COUNTIF(C5:L5,"A")</f>
        <v>0</v>
      </c>
      <c r="O5" s="7" t="n">
        <f aca="false">M5/(M5+N5)*100</f>
        <v>100</v>
      </c>
      <c r="P5" s="6" t="str">
        <f aca="false">IF(O5&gt;=$C$2,"Eligible","Shortage")</f>
        <v>Eligible</v>
      </c>
    </row>
    <row r="6" customFormat="false" ht="15" hidden="false" customHeight="false" outlineLevel="0" collapsed="false">
      <c r="A6" s="5" t="n">
        <v>102</v>
      </c>
      <c r="B6" s="6" t="s">
        <v>20</v>
      </c>
      <c r="C6" s="6" t="s">
        <v>19</v>
      </c>
      <c r="D6" s="6" t="s">
        <v>19</v>
      </c>
      <c r="E6" s="6" t="s">
        <v>21</v>
      </c>
      <c r="F6" s="6" t="s">
        <v>19</v>
      </c>
      <c r="G6" s="6" t="s">
        <v>19</v>
      </c>
      <c r="H6" s="6" t="s">
        <v>19</v>
      </c>
      <c r="I6" s="6" t="s">
        <v>19</v>
      </c>
      <c r="J6" s="6" t="s">
        <v>21</v>
      </c>
      <c r="K6" s="6" t="s">
        <v>19</v>
      </c>
      <c r="L6" s="6" t="s">
        <v>19</v>
      </c>
      <c r="M6" s="6" t="n">
        <f aca="false">COUNTIF(C6:L6,"P")</f>
        <v>8</v>
      </c>
      <c r="N6" s="6" t="n">
        <f aca="false">COUNTIF(C6:L6,"A")</f>
        <v>2</v>
      </c>
      <c r="O6" s="7" t="n">
        <f aca="false">M6/(M6+N6)*100</f>
        <v>80</v>
      </c>
      <c r="P6" s="6" t="str">
        <f aca="false">IF(O6&gt;=$C$2,"Eligible","Shortage")</f>
        <v>Eligible</v>
      </c>
    </row>
    <row r="7" customFormat="false" ht="15" hidden="false" customHeight="false" outlineLevel="0" collapsed="false">
      <c r="A7" s="5" t="n">
        <v>103</v>
      </c>
      <c r="B7" s="6" t="s">
        <v>22</v>
      </c>
      <c r="C7" s="6" t="s">
        <v>19</v>
      </c>
      <c r="D7" s="6" t="s">
        <v>21</v>
      </c>
      <c r="E7" s="6" t="s">
        <v>21</v>
      </c>
      <c r="F7" s="6" t="s">
        <v>19</v>
      </c>
      <c r="G7" s="6" t="s">
        <v>19</v>
      </c>
      <c r="H7" s="6" t="s">
        <v>21</v>
      </c>
      <c r="I7" s="6" t="s">
        <v>19</v>
      </c>
      <c r="J7" s="6" t="s">
        <v>21</v>
      </c>
      <c r="K7" s="6" t="s">
        <v>21</v>
      </c>
      <c r="L7" s="6" t="s">
        <v>19</v>
      </c>
      <c r="M7" s="6" t="n">
        <f aca="false">COUNTIF(C7:L7,"P")</f>
        <v>5</v>
      </c>
      <c r="N7" s="6" t="n">
        <f aca="false">COUNTIF(C7:L7,"A")</f>
        <v>5</v>
      </c>
      <c r="O7" s="7" t="n">
        <f aca="false">M7/(M7+N7)*100</f>
        <v>50</v>
      </c>
      <c r="P7" s="6" t="str">
        <f aca="false">IF(O7&gt;=$C$2,"Eligible","Shortage")</f>
        <v>Shortage</v>
      </c>
    </row>
    <row r="8" customFormat="false" ht="15" hidden="false" customHeight="false" outlineLevel="0" collapsed="false">
      <c r="A8" s="5" t="n">
        <v>104</v>
      </c>
      <c r="B8" s="6" t="s">
        <v>23</v>
      </c>
      <c r="C8" s="6" t="s">
        <v>19</v>
      </c>
      <c r="D8" s="6" t="s">
        <v>19</v>
      </c>
      <c r="E8" s="6" t="s">
        <v>19</v>
      </c>
      <c r="F8" s="6" t="s">
        <v>19</v>
      </c>
      <c r="G8" s="6" t="s">
        <v>21</v>
      </c>
      <c r="H8" s="6" t="s">
        <v>19</v>
      </c>
      <c r="I8" s="6" t="s">
        <v>19</v>
      </c>
      <c r="J8" s="6" t="s">
        <v>19</v>
      </c>
      <c r="K8" s="6" t="s">
        <v>19</v>
      </c>
      <c r="L8" s="6" t="s">
        <v>19</v>
      </c>
      <c r="M8" s="6" t="n">
        <f aca="false">COUNTIF(C8:L8,"P")</f>
        <v>9</v>
      </c>
      <c r="N8" s="6" t="n">
        <f aca="false">COUNTIF(C8:L8,"A")</f>
        <v>1</v>
      </c>
      <c r="O8" s="7" t="n">
        <f aca="false">M8/(M8+N8)*100</f>
        <v>90</v>
      </c>
      <c r="P8" s="6" t="str">
        <f aca="false">IF(O8&gt;=$C$2,"Eligible","Shortage")</f>
        <v>Eligible</v>
      </c>
    </row>
    <row r="9" customFormat="false" ht="15" hidden="false" customHeight="false" outlineLevel="0" collapsed="false">
      <c r="A9" s="5" t="n">
        <v>105</v>
      </c>
      <c r="B9" s="6" t="s">
        <v>24</v>
      </c>
      <c r="C9" s="6" t="s">
        <v>19</v>
      </c>
      <c r="D9" s="6" t="s">
        <v>21</v>
      </c>
      <c r="E9" s="6" t="s">
        <v>19</v>
      </c>
      <c r="F9" s="6" t="s">
        <v>21</v>
      </c>
      <c r="G9" s="6" t="s">
        <v>19</v>
      </c>
      <c r="H9" s="6" t="s">
        <v>21</v>
      </c>
      <c r="I9" s="6" t="s">
        <v>21</v>
      </c>
      <c r="J9" s="6" t="s">
        <v>19</v>
      </c>
      <c r="K9" s="6" t="s">
        <v>21</v>
      </c>
      <c r="L9" s="6" t="s">
        <v>21</v>
      </c>
      <c r="M9" s="6" t="n">
        <f aca="false">COUNTIF(C9:L9,"P")</f>
        <v>4</v>
      </c>
      <c r="N9" s="6" t="n">
        <f aca="false">COUNTIF(C9:L9,"A")</f>
        <v>6</v>
      </c>
      <c r="O9" s="7" t="n">
        <f aca="false">M9/(M9+N9)*100</f>
        <v>40</v>
      </c>
      <c r="P9" s="6" t="str">
        <f aca="false">IF(O9&gt;=$C$2,"Eligible","Shortage")</f>
        <v>Shortage</v>
      </c>
    </row>
    <row r="10" customFormat="false" ht="15" hidden="false" customHeight="false" outlineLevel="0" collapsed="false">
      <c r="A10" s="5" t="n">
        <v>106</v>
      </c>
      <c r="B10" s="6" t="s">
        <v>25</v>
      </c>
      <c r="C10" s="6" t="s">
        <v>19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21</v>
      </c>
      <c r="J10" s="6" t="s">
        <v>19</v>
      </c>
      <c r="K10" s="6" t="s">
        <v>19</v>
      </c>
      <c r="L10" s="6" t="s">
        <v>19</v>
      </c>
      <c r="M10" s="6" t="n">
        <f aca="false">COUNTIF(C10:L10,"P")</f>
        <v>9</v>
      </c>
      <c r="N10" s="6" t="n">
        <f aca="false">COUNTIF(C10:L10,"A")</f>
        <v>1</v>
      </c>
      <c r="O10" s="7" t="n">
        <f aca="false">M10/(M10+N10)*100</f>
        <v>90</v>
      </c>
      <c r="P10" s="6" t="str">
        <f aca="false">IF(O10&gt;=$C$2,"Eligible","Shortage")</f>
        <v>Eligible</v>
      </c>
    </row>
    <row r="11" customFormat="false" ht="15" hidden="false" customHeight="false" outlineLevel="0" collapsed="false">
      <c r="A11" s="5" t="n">
        <v>107</v>
      </c>
      <c r="B11" s="6" t="s">
        <v>26</v>
      </c>
      <c r="C11" s="6" t="s">
        <v>21</v>
      </c>
      <c r="D11" s="6" t="s">
        <v>19</v>
      </c>
      <c r="E11" s="6" t="s">
        <v>19</v>
      </c>
      <c r="F11" s="6" t="s">
        <v>19</v>
      </c>
      <c r="G11" s="6" t="s">
        <v>19</v>
      </c>
      <c r="H11" s="6" t="s">
        <v>19</v>
      </c>
      <c r="I11" s="6" t="s">
        <v>19</v>
      </c>
      <c r="J11" s="6" t="s">
        <v>19</v>
      </c>
      <c r="K11" s="6" t="s">
        <v>19</v>
      </c>
      <c r="L11" s="6" t="s">
        <v>19</v>
      </c>
      <c r="M11" s="6" t="n">
        <f aca="false">COUNTIF(C11:L11,"P")</f>
        <v>9</v>
      </c>
      <c r="N11" s="6" t="n">
        <f aca="false">COUNTIF(C11:L11,"A")</f>
        <v>1</v>
      </c>
      <c r="O11" s="7" t="n">
        <f aca="false">M11/(M11+N11)*100</f>
        <v>90</v>
      </c>
      <c r="P11" s="6" t="str">
        <f aca="false">IF(O11&gt;=$C$2,"Eligible","Shortage")</f>
        <v>Eligible</v>
      </c>
    </row>
    <row r="12" customFormat="false" ht="15" hidden="false" customHeight="false" outlineLevel="0" collapsed="false">
      <c r="A12" s="5" t="n">
        <v>108</v>
      </c>
      <c r="B12" s="6" t="s">
        <v>27</v>
      </c>
      <c r="C12" s="6" t="s">
        <v>19</v>
      </c>
      <c r="D12" s="6" t="s">
        <v>19</v>
      </c>
      <c r="E12" s="6" t="s">
        <v>19</v>
      </c>
      <c r="F12" s="6" t="s">
        <v>21</v>
      </c>
      <c r="G12" s="6" t="s">
        <v>19</v>
      </c>
      <c r="H12" s="6" t="s">
        <v>19</v>
      </c>
      <c r="I12" s="6" t="s">
        <v>21</v>
      </c>
      <c r="J12" s="6" t="s">
        <v>19</v>
      </c>
      <c r="K12" s="6" t="s">
        <v>19</v>
      </c>
      <c r="L12" s="6" t="s">
        <v>21</v>
      </c>
      <c r="M12" s="6" t="n">
        <f aca="false">COUNTIF(C12:L12,"P")</f>
        <v>7</v>
      </c>
      <c r="N12" s="6" t="n">
        <f aca="false">COUNTIF(C12:L12,"A")</f>
        <v>3</v>
      </c>
      <c r="O12" s="7" t="n">
        <f aca="false">M12/(M12+N12)*100</f>
        <v>70</v>
      </c>
      <c r="P12" s="6" t="str">
        <f aca="false">IF(O12&gt;=$C$2,"Eligible","Shortage")</f>
        <v>Shortage</v>
      </c>
    </row>
    <row r="14" customFormat="false" ht="15" hidden="false" customHeight="false" outlineLevel="0" collapsed="false">
      <c r="A14" s="8" t="s">
        <v>28</v>
      </c>
    </row>
  </sheetData>
  <conditionalFormatting sqref="P5:P12">
    <cfRule type="cellIs" priority="2" operator="equal" aboveAverage="0" equalAverage="0" bottom="0" percent="0" rank="0" text="" dxfId="0">
      <formula>"Shortage"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B2" s="2" t="s">
        <v>30</v>
      </c>
      <c r="C2" s="9" t="n">
        <v>0.2</v>
      </c>
    </row>
    <row r="3" customFormat="false" ht="15" hidden="false" customHeight="false" outlineLevel="0" collapsed="false">
      <c r="B3" s="2" t="s">
        <v>31</v>
      </c>
      <c r="C3" s="9" t="n">
        <v>0.1</v>
      </c>
    </row>
    <row r="4" customFormat="false" ht="15" hidden="false" customHeight="false" outlineLevel="0" collapsed="false">
      <c r="B4" s="2" t="s">
        <v>32</v>
      </c>
      <c r="C4" s="9" t="n">
        <v>0.12</v>
      </c>
    </row>
    <row r="5" customFormat="false" ht="15" hidden="false" customHeight="false" outlineLevel="0" collapsed="false">
      <c r="B5" s="2" t="s">
        <v>33</v>
      </c>
      <c r="C5" s="9" t="n">
        <v>0.1</v>
      </c>
    </row>
    <row r="6" customFormat="false" ht="15" hidden="false" customHeight="false" outlineLevel="0" collapsed="false">
      <c r="A6" s="4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</row>
    <row r="7" customFormat="false" ht="15" hidden="false" customHeight="false" outlineLevel="0" collapsed="false">
      <c r="A7" s="5" t="s">
        <v>43</v>
      </c>
      <c r="B7" s="10" t="n">
        <v>30000</v>
      </c>
      <c r="C7" s="10" t="n">
        <f aca="false">B7*$C$2</f>
        <v>6000</v>
      </c>
      <c r="D7" s="10" t="n">
        <f aca="false">B7*$C$3</f>
        <v>3000</v>
      </c>
      <c r="E7" s="10" t="n">
        <v>3000</v>
      </c>
      <c r="F7" s="10" t="n">
        <f aca="false">B7+C7+D7+E7</f>
        <v>42000</v>
      </c>
      <c r="G7" s="10" t="n">
        <f aca="false">B7*$C$4</f>
        <v>3600</v>
      </c>
      <c r="H7" s="10" t="n">
        <f aca="false">IF(F7&gt;50000,F7*$C$5,0)</f>
        <v>0</v>
      </c>
      <c r="I7" s="10" t="n">
        <f aca="false">F7-G7-H7</f>
        <v>38400</v>
      </c>
    </row>
    <row r="8" customFormat="false" ht="15" hidden="false" customHeight="false" outlineLevel="0" collapsed="false">
      <c r="A8" s="5" t="s">
        <v>44</v>
      </c>
      <c r="B8" s="10" t="n">
        <v>42000</v>
      </c>
      <c r="C8" s="10" t="n">
        <f aca="false">B8*$C$2</f>
        <v>8400</v>
      </c>
      <c r="D8" s="10" t="n">
        <f aca="false">B8*$C$3</f>
        <v>4200</v>
      </c>
      <c r="E8" s="10" t="n">
        <v>4000</v>
      </c>
      <c r="F8" s="10" t="n">
        <f aca="false">B8+C8+D8+E8</f>
        <v>58600</v>
      </c>
      <c r="G8" s="10" t="n">
        <f aca="false">B8*$C$4</f>
        <v>5040</v>
      </c>
      <c r="H8" s="10" t="n">
        <f aca="false">IF(F8&gt;50000,F8*$C$5,0)</f>
        <v>5860</v>
      </c>
      <c r="I8" s="10" t="n">
        <f aca="false">F8-G8-H8</f>
        <v>47700</v>
      </c>
    </row>
    <row r="9" customFormat="false" ht="15" hidden="false" customHeight="false" outlineLevel="0" collapsed="false">
      <c r="A9" s="5" t="s">
        <v>45</v>
      </c>
      <c r="B9" s="10" t="n">
        <v>25000</v>
      </c>
      <c r="C9" s="10" t="n">
        <f aca="false">B9*$C$2</f>
        <v>5000</v>
      </c>
      <c r="D9" s="10" t="n">
        <f aca="false">B9*$C$3</f>
        <v>2500</v>
      </c>
      <c r="E9" s="10" t="n">
        <v>2500</v>
      </c>
      <c r="F9" s="10" t="n">
        <f aca="false">B9+C9+D9+E9</f>
        <v>35000</v>
      </c>
      <c r="G9" s="10" t="n">
        <f aca="false">B9*$C$4</f>
        <v>3000</v>
      </c>
      <c r="H9" s="10" t="n">
        <f aca="false">IF(F9&gt;50000,F9*$C$5,0)</f>
        <v>0</v>
      </c>
      <c r="I9" s="10" t="n">
        <f aca="false">F9-G9-H9</f>
        <v>32000</v>
      </c>
    </row>
    <row r="10" customFormat="false" ht="15" hidden="false" customHeight="false" outlineLevel="0" collapsed="false">
      <c r="A10" s="5" t="s">
        <v>46</v>
      </c>
      <c r="B10" s="10" t="n">
        <v>55000</v>
      </c>
      <c r="C10" s="10" t="n">
        <f aca="false">B10*$C$2</f>
        <v>11000</v>
      </c>
      <c r="D10" s="10" t="n">
        <f aca="false">B10*$C$3</f>
        <v>5500</v>
      </c>
      <c r="E10" s="10" t="n">
        <v>5000</v>
      </c>
      <c r="F10" s="10" t="n">
        <f aca="false">B10+C10+D10+E10</f>
        <v>76500</v>
      </c>
      <c r="G10" s="10" t="n">
        <f aca="false">B10*$C$4</f>
        <v>6600</v>
      </c>
      <c r="H10" s="10" t="n">
        <f aca="false">IF(F10&gt;50000,F10*$C$5,0)</f>
        <v>7650</v>
      </c>
      <c r="I10" s="10" t="n">
        <f aca="false">F10-G10-H10</f>
        <v>62250</v>
      </c>
    </row>
    <row r="11" customFormat="false" ht="15" hidden="false" customHeight="false" outlineLevel="0" collapsed="false">
      <c r="A11" s="5" t="s">
        <v>47</v>
      </c>
      <c r="B11" s="10" t="n">
        <v>38000</v>
      </c>
      <c r="C11" s="10" t="n">
        <f aca="false">B11*$C$2</f>
        <v>7600</v>
      </c>
      <c r="D11" s="10" t="n">
        <f aca="false">B11*$C$3</f>
        <v>3800</v>
      </c>
      <c r="E11" s="10" t="n">
        <v>3500</v>
      </c>
      <c r="F11" s="10" t="n">
        <f aca="false">B11+C11+D11+E11</f>
        <v>52900</v>
      </c>
      <c r="G11" s="10" t="n">
        <f aca="false">B11*$C$4</f>
        <v>4560</v>
      </c>
      <c r="H11" s="10" t="n">
        <f aca="false">IF(F11&gt;50000,F11*$C$5,0)</f>
        <v>5290</v>
      </c>
      <c r="I11" s="10" t="n">
        <f aca="false">F11-G11-H11</f>
        <v>43050</v>
      </c>
    </row>
    <row r="12" customFormat="false" ht="15" hidden="false" customHeight="false" outlineLevel="0" collapsed="false">
      <c r="A12" s="5" t="s">
        <v>48</v>
      </c>
      <c r="B12" s="10" t="n">
        <v>48000</v>
      </c>
      <c r="C12" s="10" t="n">
        <f aca="false">B12*$C$2</f>
        <v>9600</v>
      </c>
      <c r="D12" s="10" t="n">
        <f aca="false">B12*$C$3</f>
        <v>4800</v>
      </c>
      <c r="E12" s="10" t="n">
        <v>4500</v>
      </c>
      <c r="F12" s="10" t="n">
        <f aca="false">B12+C12+D12+E12</f>
        <v>66900</v>
      </c>
      <c r="G12" s="10" t="n">
        <f aca="false">B12*$C$4</f>
        <v>5760</v>
      </c>
      <c r="H12" s="10" t="n">
        <f aca="false">IF(F12&gt;50000,F12*$C$5,0)</f>
        <v>6690</v>
      </c>
      <c r="I12" s="10" t="n">
        <f aca="false">F12-G12-H12</f>
        <v>54450</v>
      </c>
    </row>
    <row r="13" customFormat="false" ht="15" hidden="false" customHeight="false" outlineLevel="0" collapsed="false">
      <c r="A13" s="11" t="s">
        <v>49</v>
      </c>
      <c r="B13" s="12" t="n">
        <f aca="false">SUM(B7:B12)</f>
        <v>238000</v>
      </c>
      <c r="C13" s="12" t="n">
        <f aca="false">SUM(C7:C12)</f>
        <v>47600</v>
      </c>
      <c r="D13" s="12" t="n">
        <f aca="false">SUM(D7:D12)</f>
        <v>23800</v>
      </c>
      <c r="E13" s="12" t="n">
        <f aca="false">SUM(E7:E12)</f>
        <v>22500</v>
      </c>
      <c r="F13" s="12" t="n">
        <f aca="false">SUM(F7:F12)</f>
        <v>331900</v>
      </c>
      <c r="G13" s="12" t="n">
        <f aca="false">SUM(G7:G12)</f>
        <v>28560</v>
      </c>
      <c r="H13" s="12" t="n">
        <f aca="false">SUM(H7:H12)</f>
        <v>25490</v>
      </c>
      <c r="I13" s="12" t="n">
        <f aca="false">SUM(I7:I12)</f>
        <v>277850</v>
      </c>
    </row>
    <row r="15" customFormat="false" ht="15" hidden="false" customHeight="false" outlineLevel="0" collapsed="false">
      <c r="A15" s="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51</v>
      </c>
    </row>
    <row r="4" customFormat="false" ht="26.85" hidden="false" customHeight="false" outlineLevel="0" collapsed="false">
      <c r="A4" s="4" t="s">
        <v>52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59</v>
      </c>
      <c r="I4" s="4" t="s">
        <v>60</v>
      </c>
      <c r="J4" s="4" t="s">
        <v>17</v>
      </c>
    </row>
    <row r="5" customFormat="false" ht="15" hidden="false" customHeight="false" outlineLevel="0" collapsed="false">
      <c r="A5" s="5" t="s">
        <v>61</v>
      </c>
      <c r="B5" s="6" t="s">
        <v>62</v>
      </c>
      <c r="C5" s="6" t="n">
        <v>120</v>
      </c>
      <c r="D5" s="6" t="n">
        <v>50</v>
      </c>
      <c r="E5" s="6" t="n">
        <v>140</v>
      </c>
      <c r="F5" s="6" t="n">
        <f aca="false">C5+D5-E5</f>
        <v>30</v>
      </c>
      <c r="G5" s="6" t="n">
        <v>25</v>
      </c>
      <c r="H5" s="6" t="n">
        <v>40</v>
      </c>
      <c r="I5" s="10" t="n">
        <f aca="false">F5*G5</f>
        <v>750</v>
      </c>
      <c r="J5" s="6" t="str">
        <f aca="false">IF(F5&lt;=H5,"Reorder","OK")</f>
        <v>Reorder</v>
      </c>
    </row>
    <row r="6" customFormat="false" ht="15" hidden="false" customHeight="false" outlineLevel="0" collapsed="false">
      <c r="A6" s="5" t="s">
        <v>63</v>
      </c>
      <c r="B6" s="6" t="s">
        <v>64</v>
      </c>
      <c r="C6" s="6" t="n">
        <v>300</v>
      </c>
      <c r="D6" s="6" t="n">
        <v>200</v>
      </c>
      <c r="E6" s="6" t="n">
        <v>420</v>
      </c>
      <c r="F6" s="6" t="n">
        <f aca="false">C6+D6-E6</f>
        <v>80</v>
      </c>
      <c r="G6" s="6" t="n">
        <v>10</v>
      </c>
      <c r="H6" s="6" t="n">
        <v>60</v>
      </c>
      <c r="I6" s="10" t="n">
        <f aca="false">F6*G6</f>
        <v>800</v>
      </c>
      <c r="J6" s="6" t="str">
        <f aca="false">IF(F6&lt;=H6,"Reorder","OK")</f>
        <v>OK</v>
      </c>
    </row>
    <row r="7" customFormat="false" ht="15" hidden="false" customHeight="false" outlineLevel="0" collapsed="false">
      <c r="A7" s="5" t="s">
        <v>65</v>
      </c>
      <c r="B7" s="6" t="s">
        <v>66</v>
      </c>
      <c r="C7" s="6" t="n">
        <v>60</v>
      </c>
      <c r="D7" s="6" t="n">
        <v>0</v>
      </c>
      <c r="E7" s="6" t="n">
        <v>45</v>
      </c>
      <c r="F7" s="6" t="n">
        <f aca="false">C7+D7-E7</f>
        <v>15</v>
      </c>
      <c r="G7" s="6" t="n">
        <v>60</v>
      </c>
      <c r="H7" s="6" t="n">
        <v>20</v>
      </c>
      <c r="I7" s="10" t="n">
        <f aca="false">F7*G7</f>
        <v>900</v>
      </c>
      <c r="J7" s="6" t="str">
        <f aca="false">IF(F7&lt;=H7,"Reorder","OK")</f>
        <v>Reorder</v>
      </c>
    </row>
    <row r="8" customFormat="false" ht="15" hidden="false" customHeight="false" outlineLevel="0" collapsed="false">
      <c r="A8" s="5" t="s">
        <v>67</v>
      </c>
      <c r="B8" s="6" t="s">
        <v>68</v>
      </c>
      <c r="C8" s="6" t="n">
        <v>25</v>
      </c>
      <c r="D8" s="6" t="n">
        <v>10</v>
      </c>
      <c r="E8" s="6" t="n">
        <v>18</v>
      </c>
      <c r="F8" s="6" t="n">
        <f aca="false">C8+D8-E8</f>
        <v>17</v>
      </c>
      <c r="G8" s="6" t="n">
        <v>95</v>
      </c>
      <c r="H8" s="6" t="n">
        <v>10</v>
      </c>
      <c r="I8" s="10" t="n">
        <f aca="false">F8*G8</f>
        <v>1615</v>
      </c>
      <c r="J8" s="6" t="str">
        <f aca="false">IF(F8&lt;=H8,"Reorder","OK")</f>
        <v>OK</v>
      </c>
    </row>
    <row r="9" customFormat="false" ht="15" hidden="false" customHeight="false" outlineLevel="0" collapsed="false">
      <c r="A9" s="5" t="s">
        <v>69</v>
      </c>
      <c r="B9" s="6" t="s">
        <v>70</v>
      </c>
      <c r="C9" s="6" t="n">
        <v>80</v>
      </c>
      <c r="D9" s="6" t="n">
        <v>40</v>
      </c>
      <c r="E9" s="6" t="n">
        <v>100</v>
      </c>
      <c r="F9" s="6" t="n">
        <f aca="false">C9+D9-E9</f>
        <v>20</v>
      </c>
      <c r="G9" s="6" t="n">
        <v>280</v>
      </c>
      <c r="H9" s="6" t="n">
        <v>15</v>
      </c>
      <c r="I9" s="10" t="n">
        <f aca="false">F9*G9</f>
        <v>5600</v>
      </c>
      <c r="J9" s="6" t="str">
        <f aca="false">IF(F9&lt;=H9,"Reorder","OK")</f>
        <v>OK</v>
      </c>
    </row>
    <row r="10" customFormat="false" ht="15" hidden="false" customHeight="false" outlineLevel="0" collapsed="false">
      <c r="A10" s="5" t="s">
        <v>71</v>
      </c>
      <c r="B10" s="6" t="s">
        <v>72</v>
      </c>
      <c r="C10" s="6" t="n">
        <v>90</v>
      </c>
      <c r="D10" s="6" t="n">
        <v>30</v>
      </c>
      <c r="E10" s="6" t="n">
        <v>95</v>
      </c>
      <c r="F10" s="6" t="n">
        <f aca="false">C10+D10-E10</f>
        <v>25</v>
      </c>
      <c r="G10" s="6" t="n">
        <v>35</v>
      </c>
      <c r="H10" s="6" t="n">
        <v>20</v>
      </c>
      <c r="I10" s="10" t="n">
        <f aca="false">F10*G10</f>
        <v>875</v>
      </c>
      <c r="J10" s="6" t="str">
        <f aca="false">IF(F10&lt;=H10,"Reorder","OK")</f>
        <v>OK</v>
      </c>
    </row>
    <row r="11" customFormat="false" ht="15" hidden="false" customHeight="false" outlineLevel="0" collapsed="false">
      <c r="A11" s="5" t="s">
        <v>73</v>
      </c>
      <c r="B11" s="6" t="s">
        <v>74</v>
      </c>
      <c r="C11" s="6" t="n">
        <v>70</v>
      </c>
      <c r="D11" s="6" t="n">
        <v>20</v>
      </c>
      <c r="E11" s="6" t="n">
        <v>40</v>
      </c>
      <c r="F11" s="6" t="n">
        <f aca="false">C11+D11-E11</f>
        <v>50</v>
      </c>
      <c r="G11" s="6" t="n">
        <v>45</v>
      </c>
      <c r="H11" s="6" t="n">
        <v>25</v>
      </c>
      <c r="I11" s="10" t="n">
        <f aca="false">F11*G11</f>
        <v>2250</v>
      </c>
      <c r="J11" s="6" t="str">
        <f aca="false">IF(F11&lt;=H11,"Reorder","OK")</f>
        <v>OK</v>
      </c>
    </row>
    <row r="12" customFormat="false" ht="15" hidden="false" customHeight="false" outlineLevel="0" collapsed="false">
      <c r="A12" s="5" t="s">
        <v>75</v>
      </c>
      <c r="B12" s="6" t="s">
        <v>76</v>
      </c>
      <c r="C12" s="6" t="n">
        <v>50</v>
      </c>
      <c r="D12" s="6" t="n">
        <v>0</v>
      </c>
      <c r="E12" s="6" t="n">
        <v>38</v>
      </c>
      <c r="F12" s="6" t="n">
        <f aca="false">C12+D12-E12</f>
        <v>12</v>
      </c>
      <c r="G12" s="6" t="n">
        <v>40</v>
      </c>
      <c r="H12" s="6" t="n">
        <v>15</v>
      </c>
      <c r="I12" s="10" t="n">
        <f aca="false">F12*G12</f>
        <v>480</v>
      </c>
      <c r="J12" s="6" t="str">
        <f aca="false">IF(F12&lt;=H12,"Reorder","OK")</f>
        <v>Reorder</v>
      </c>
    </row>
    <row r="13" customFormat="false" ht="15" hidden="false" customHeight="false" outlineLevel="0" collapsed="false">
      <c r="A13" s="11" t="s">
        <v>77</v>
      </c>
      <c r="B13" s="13"/>
      <c r="C13" s="13"/>
      <c r="D13" s="13"/>
      <c r="E13" s="13"/>
      <c r="F13" s="13"/>
      <c r="G13" s="13"/>
      <c r="H13" s="13"/>
      <c r="I13" s="12" t="n">
        <f aca="false">SUM(I5:I12)</f>
        <v>13270</v>
      </c>
      <c r="J13" s="13"/>
    </row>
    <row r="15" customFormat="false" ht="15" hidden="false" customHeight="false" outlineLevel="0" collapsed="false">
      <c r="A15" s="8" t="s">
        <v>78</v>
      </c>
    </row>
  </sheetData>
  <conditionalFormatting sqref="J5:J12">
    <cfRule type="cellIs" priority="2" operator="equal" aboveAverage="0" equalAverage="0" bottom="0" percent="0" rank="0" text="" dxfId="0">
      <formula>"Reorder"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2026-10-12T08:31:10Z</dcterms:created>
  <dc:creator>openpyxl</dc:creator>
  <dc:description/>
  <dc:language>en-US</dc:language>
  <cp:lastModifiedBy/>
  <dcterms:modified xsi:type="dcterms:W3CDTF">2026-10-12T08:31:10Z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