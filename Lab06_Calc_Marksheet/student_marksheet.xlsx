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<sst xmlns="http://schemas.openxmlformats.org/spreadsheetml/2006/main" count="30" uniqueCount="30">
  <si>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STUDENT MARKSHEET - BCA (AI &amp; ML)</t>
  </si>
  <si>
    <t xml:space="preserve">Max marks per subject:</t>
  </si>
  <si>
    <t xml:space="preserve">Pass marks:</t>
  </si>
  <si>
    <t xml:space="preserve">Roll No</t>
  </si>
  <si>
    <t xml:space="preserve">Name</t>
  </si>
  <si>
    <t xml:space="preserve">Maths</t>
  </si>
  <si>
    <t xml:space="preserve">Physics</t>
  </si>
  <si>
    <t xml:space="preserve">Chemistry</t>
  </si>
  <si>
    <t xml:space="preserve">English</t>
  </si>
  <si>
    <t xml:space="preserve">Computer</t>
  </si>
  <si>
    <t xml:space="preserve">Total</t>
  </si>
  <si>
    <t xml:space="preserve">Average</t>
  </si>
  <si>
    <t xml:space="preserve">Percentage</t>
  </si>
  <si>
    <t xml:space="preserve">Result</t>
  </si>
  <si>
    <t xml:space="preserve">Grade</t>
  </si>
  <si>
    <t xml:space="preserve">Rank</t>
  </si>
  <si>
    <t xml:space="preserve">Aarav Mehta</t>
  </si>
  <si>
    <t xml:space="preserve">Priya Verma</t>
  </si>
  <si>
    <t xml:space="preserve">Rahul Sharma</t>
  </si>
  <si>
    <t xml:space="preserve">Simran Kaur</t>
  </si>
  <si>
    <t xml:space="preserve">Karan Singh</t>
  </si>
  <si>
    <t xml:space="preserve">Neha Singh</t>
  </si>
  <si>
    <t xml:space="preserve">Manpreet Gill</t>
  </si>
  <si>
    <t xml:space="preserve">Ishita Jain</t>
  </si>
  <si>
    <t xml:space="preserve">Harsh Kumar</t>
  </si>
  <si>
    <t xml:space="preserve">Anjali Rao</t>
  </si>
  <si>
    <t xml:space="preserve">Highest</t>
  </si>
  <si>
    <t xml:space="preserve">Lowest</t>
  </si>
  <si>
    <t xml:space="preserve">Class Average</t>
  </si>
  <si>
    <t xml:space="preserve">Blue cells (C2, F2) are inputs: change max/pass marks and all results update. Student names and marks are sample data.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</si>
</sst>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n">
        <v>100</v>
      </c>
      <c r="D2" s="2" t="s">
        <v>2</v>
      </c>
      <c r="F2" s="3" t="n">
        <v>40</v>
      </c>
    </row>
    <row r="4" customFormat="false" ht="26.8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</row>
    <row r="5" customFormat="false" ht="15" hidden="false" customHeight="false" outlineLevel="0" collapsed="false">
      <c r="A5" s="5" t="n">
        <v>101</v>
      </c>
      <c r="B5" s="6" t="s">
        <v>16</v>
      </c>
      <c r="C5" s="6" t="n">
        <v>78</v>
      </c>
      <c r="D5" s="6" t="n">
        <v>82</v>
      </c>
      <c r="E5" s="6" t="n">
        <v>74</v>
      </c>
      <c r="F5" s="6" t="n">
        <v>69</v>
      </c>
      <c r="G5" s="6" t="n">
        <v>91</v>
      </c>
      <c r="H5" s="6" t="n">
        <f aca="false">SUM(C5:G5)</f>
        <v>394</v>
      </c>
      <c r="I5" s="7" t="n">
        <f aca="false">AVERAGE(C5:G5)</f>
        <v>78.8</v>
      </c>
      <c r="J5" s="7" t="n">
        <f aca="false">H5/(5*$C$2)*100</f>
        <v>78.8</v>
      </c>
      <c r="K5" s="6" t="str">
        <f aca="false">IF(MIN(C5:G5)&gt;=$F$2,"Pass","Fail")</f>
        <v>Pass</v>
      </c>
      <c r="L5" s="6" t="str">
        <f aca="false">IF(J5&gt;=90,"A+",IF(J5&gt;=80,"A",IF(J5&gt;=70,"B",IF(J5&gt;=60,"C",IF(J5&gt;=40,"D","F")))))</f>
        <v>B</v>
      </c>
      <c r="M5" s="6" t="n">
        <f aca="false">RANK(H5,$H$5:$H$14)</f>
        <v>5</v>
      </c>
    </row>
    <row r="6" customFormat="false" ht="15" hidden="false" customHeight="false" outlineLevel="0" collapsed="false">
      <c r="A6" s="5" t="n">
        <v>102</v>
      </c>
      <c r="B6" s="6" t="s">
        <v>17</v>
      </c>
      <c r="C6" s="6" t="n">
        <v>92</v>
      </c>
      <c r="D6" s="6" t="n">
        <v>88</v>
      </c>
      <c r="E6" s="6" t="n">
        <v>95</v>
      </c>
      <c r="F6" s="6" t="n">
        <v>84</v>
      </c>
      <c r="G6" s="6" t="n">
        <v>97</v>
      </c>
      <c r="H6" s="6" t="n">
        <f aca="false">SUM(C6:G6)</f>
        <v>456</v>
      </c>
      <c r="I6" s="7" t="n">
        <f aca="false">AVERAGE(C6:G6)</f>
        <v>91.2</v>
      </c>
      <c r="J6" s="7" t="n">
        <f aca="false">H6/(5*$C$2)*100</f>
        <v>91.2</v>
      </c>
      <c r="K6" s="6" t="str">
        <f aca="false">IF(MIN(C6:G6)&gt;=$F$2,"Pass","Fail")</f>
        <v>Pass</v>
      </c>
      <c r="L6" s="6" t="str">
        <f aca="false">IF(J6&gt;=90,"A+",IF(J6&gt;=80,"A",IF(J6&gt;=70,"B",IF(J6&gt;=60,"C",IF(J6&gt;=40,"D","F")))))</f>
        <v>A+</v>
      </c>
      <c r="M6" s="6" t="n">
        <f aca="false">RANK(H6,$H$5:$H$14)</f>
        <v>2</v>
      </c>
    </row>
    <row r="7" customFormat="false" ht="15" hidden="false" customHeight="false" outlineLevel="0" collapsed="false">
      <c r="A7" s="5" t="n">
        <v>103</v>
      </c>
      <c r="B7" s="6" t="s">
        <v>18</v>
      </c>
      <c r="C7" s="6" t="n">
        <v>56</v>
      </c>
      <c r="D7" s="6" t="n">
        <v>48</v>
      </c>
      <c r="E7" s="6" t="n">
        <v>61</v>
      </c>
      <c r="F7" s="6" t="n">
        <v>72</v>
      </c>
      <c r="G7" s="6" t="n">
        <v>66</v>
      </c>
      <c r="H7" s="6" t="n">
        <f aca="false">SUM(C7:G7)</f>
        <v>303</v>
      </c>
      <c r="I7" s="7" t="n">
        <f aca="false">AVERAGE(C7:G7)</f>
        <v>60.6</v>
      </c>
      <c r="J7" s="7" t="n">
        <f aca="false">H7/(5*$C$2)*100</f>
        <v>60.6</v>
      </c>
      <c r="K7" s="6" t="str">
        <f aca="false">IF(MIN(C7:G7)&gt;=$F$2,"Pass","Fail")</f>
        <v>Pass</v>
      </c>
      <c r="L7" s="6" t="str">
        <f aca="false">IF(J7&gt;=90,"A+",IF(J7&gt;=80,"A",IF(J7&gt;=70,"B",IF(J7&gt;=60,"C",IF(J7&gt;=40,"D","F")))))</f>
        <v>C</v>
      </c>
      <c r="M7" s="6" t="n">
        <f aca="false">RANK(H7,$H$5:$H$14)</f>
        <v>8</v>
      </c>
    </row>
    <row r="8" customFormat="false" ht="15" hidden="false" customHeight="false" outlineLevel="0" collapsed="false">
      <c r="A8" s="5" t="n">
        <v>104</v>
      </c>
      <c r="B8" s="6" t="s">
        <v>19</v>
      </c>
      <c r="C8" s="6" t="n">
        <v>67</v>
      </c>
      <c r="D8" s="6" t="n">
        <v>71</v>
      </c>
      <c r="E8" s="6" t="n">
        <v>58</v>
      </c>
      <c r="F8" s="6" t="n">
        <v>80</v>
      </c>
      <c r="G8" s="6" t="n">
        <v>74</v>
      </c>
      <c r="H8" s="6" t="n">
        <f aca="false">SUM(C8:G8)</f>
        <v>350</v>
      </c>
      <c r="I8" s="7" t="n">
        <f aca="false">AVERAGE(C8:G8)</f>
        <v>70</v>
      </c>
      <c r="J8" s="7" t="n">
        <f aca="false">H8/(5*$C$2)*100</f>
        <v>70</v>
      </c>
      <c r="K8" s="6" t="str">
        <f aca="false">IF(MIN(C8:G8)&gt;=$F$2,"Pass","Fail")</f>
        <v>Pass</v>
      </c>
      <c r="L8" s="6" t="str">
        <f aca="false">IF(J8&gt;=90,"A+",IF(J8&gt;=80,"A",IF(J8&gt;=70,"B",IF(J8&gt;=60,"C",IF(J8&gt;=40,"D","F")))))</f>
        <v>B</v>
      </c>
      <c r="M8" s="6" t="n">
        <f aca="false">RANK(H8,$H$5:$H$14)</f>
        <v>7</v>
      </c>
    </row>
    <row r="9" customFormat="false" ht="15" hidden="false" customHeight="false" outlineLevel="0" collapsed="false">
      <c r="A9" s="5" t="n">
        <v>105</v>
      </c>
      <c r="B9" s="6" t="s">
        <v>20</v>
      </c>
      <c r="C9" s="6" t="n">
        <v>34</v>
      </c>
      <c r="D9" s="6" t="n">
        <v>45</v>
      </c>
      <c r="E9" s="6" t="n">
        <v>52</v>
      </c>
      <c r="F9" s="6" t="n">
        <v>60</v>
      </c>
      <c r="G9" s="6" t="n">
        <v>58</v>
      </c>
      <c r="H9" s="6" t="n">
        <f aca="false">SUM(C9:G9)</f>
        <v>249</v>
      </c>
      <c r="I9" s="7" t="n">
        <f aca="false">AVERAGE(C9:G9)</f>
        <v>49.8</v>
      </c>
      <c r="J9" s="7" t="n">
        <f aca="false">H9/(5*$C$2)*100</f>
        <v>49.8</v>
      </c>
      <c r="K9" s="6" t="str">
        <f aca="false">IF(MIN(C9:G9)&gt;=$F$2,"Pass","Fail")</f>
        <v>Fail</v>
      </c>
      <c r="L9" s="6" t="str">
        <f aca="false">IF(J9&gt;=90,"A+",IF(J9&gt;=80,"A",IF(J9&gt;=70,"B",IF(J9&gt;=60,"C",IF(J9&gt;=40,"D","F")))))</f>
        <v>D</v>
      </c>
      <c r="M9" s="6" t="n">
        <f aca="false">RANK(H9,$H$5:$H$14)</f>
        <v>10</v>
      </c>
    </row>
    <row r="10" customFormat="false" ht="15" hidden="false" customHeight="false" outlineLevel="0" collapsed="false">
      <c r="A10" s="5" t="n">
        <v>106</v>
      </c>
      <c r="B10" s="6" t="s">
        <v>21</v>
      </c>
      <c r="C10" s="6" t="n">
        <v>88</v>
      </c>
      <c r="D10" s="6" t="n">
        <v>79</v>
      </c>
      <c r="E10" s="6" t="n">
        <v>83</v>
      </c>
      <c r="F10" s="6" t="n">
        <v>90</v>
      </c>
      <c r="G10" s="6" t="n">
        <v>85</v>
      </c>
      <c r="H10" s="6" t="n">
        <f aca="false">SUM(C10:G10)</f>
        <v>425</v>
      </c>
      <c r="I10" s="7" t="n">
        <f aca="false">AVERAGE(C10:G10)</f>
        <v>85</v>
      </c>
      <c r="J10" s="7" t="n">
        <f aca="false">H10/(5*$C$2)*100</f>
        <v>85</v>
      </c>
      <c r="K10" s="6" t="str">
        <f aca="false">IF(MIN(C10:G10)&gt;=$F$2,"Pass","Fail")</f>
        <v>Pass</v>
      </c>
      <c r="L10" s="6" t="str">
        <f aca="false">IF(J10&gt;=90,"A+",IF(J10&gt;=80,"A",IF(J10&gt;=70,"B",IF(J10&gt;=60,"C",IF(J10&gt;=40,"D","F")))))</f>
        <v>A</v>
      </c>
      <c r="M10" s="6" t="n">
        <f aca="false">RANK(H10,$H$5:$H$14)</f>
        <v>3</v>
      </c>
    </row>
    <row r="11" customFormat="false" ht="15" hidden="false" customHeight="false" outlineLevel="0" collapsed="false">
      <c r="A11" s="5" t="n">
        <v>107</v>
      </c>
      <c r="B11" s="6" t="s">
        <v>22</v>
      </c>
      <c r="C11" s="6" t="n">
        <v>73</v>
      </c>
      <c r="D11" s="6" t="n">
        <v>66</v>
      </c>
      <c r="E11" s="6" t="n">
        <v>70</v>
      </c>
      <c r="F11" s="6" t="n">
        <v>64</v>
      </c>
      <c r="G11" s="6" t="n">
        <v>79</v>
      </c>
      <c r="H11" s="6" t="n">
        <f aca="false">SUM(C11:G11)</f>
        <v>352</v>
      </c>
      <c r="I11" s="7" t="n">
        <f aca="false">AVERAGE(C11:G11)</f>
        <v>70.4</v>
      </c>
      <c r="J11" s="7" t="n">
        <f aca="false">H11/(5*$C$2)*100</f>
        <v>70.4</v>
      </c>
      <c r="K11" s="6" t="str">
        <f aca="false">IF(MIN(C11:G11)&gt;=$F$2,"Pass","Fail")</f>
        <v>Pass</v>
      </c>
      <c r="L11" s="6" t="str">
        <f aca="false">IF(J11&gt;=90,"A+",IF(J11&gt;=80,"A",IF(J11&gt;=70,"B",IF(J11&gt;=60,"C",IF(J11&gt;=40,"D","F")))))</f>
        <v>B</v>
      </c>
      <c r="M11" s="6" t="n">
        <f aca="false">RANK(H11,$H$5:$H$14)</f>
        <v>6</v>
      </c>
    </row>
    <row r="12" customFormat="false" ht="15" hidden="false" customHeight="false" outlineLevel="0" collapsed="false">
      <c r="A12" s="5" t="n">
        <v>108</v>
      </c>
      <c r="B12" s="6" t="s">
        <v>23</v>
      </c>
      <c r="C12" s="6" t="n">
        <v>95</v>
      </c>
      <c r="D12" s="6" t="n">
        <v>91</v>
      </c>
      <c r="E12" s="6" t="n">
        <v>89</v>
      </c>
      <c r="F12" s="6" t="n">
        <v>93</v>
      </c>
      <c r="G12" s="6" t="n">
        <v>98</v>
      </c>
      <c r="H12" s="6" t="n">
        <f aca="false">SUM(C12:G12)</f>
        <v>466</v>
      </c>
      <c r="I12" s="7" t="n">
        <f aca="false">AVERAGE(C12:G12)</f>
        <v>93.2</v>
      </c>
      <c r="J12" s="7" t="n">
        <f aca="false">H12/(5*$C$2)*100</f>
        <v>93.2</v>
      </c>
      <c r="K12" s="6" t="str">
        <f aca="false">IF(MIN(C12:G12)&gt;=$F$2,"Pass","Fail")</f>
        <v>Pass</v>
      </c>
      <c r="L12" s="6" t="str">
        <f aca="false">IF(J12&gt;=90,"A+",IF(J12&gt;=80,"A",IF(J12&gt;=70,"B",IF(J12&gt;=60,"C",IF(J12&gt;=40,"D","F")))))</f>
        <v>A+</v>
      </c>
      <c r="M12" s="6" t="n">
        <f aca="false">RANK(H12,$H$5:$H$14)</f>
        <v>1</v>
      </c>
    </row>
    <row r="13" customFormat="false" ht="15" hidden="false" customHeight="false" outlineLevel="0" collapsed="false">
      <c r="A13" s="5" t="n">
        <v>109</v>
      </c>
      <c r="B13" s="6" t="s">
        <v>24</v>
      </c>
      <c r="C13" s="6" t="n">
        <v>45</v>
      </c>
      <c r="D13" s="6" t="n">
        <v>52</v>
      </c>
      <c r="E13" s="6" t="n">
        <v>41</v>
      </c>
      <c r="F13" s="6" t="n">
        <v>58</v>
      </c>
      <c r="G13" s="6" t="n">
        <v>63</v>
      </c>
      <c r="H13" s="6" t="n">
        <f aca="false">SUM(C13:G13)</f>
        <v>259</v>
      </c>
      <c r="I13" s="7" t="n">
        <f aca="false">AVERAGE(C13:G13)</f>
        <v>51.8</v>
      </c>
      <c r="J13" s="7" t="n">
        <f aca="false">H13/(5*$C$2)*100</f>
        <v>51.8</v>
      </c>
      <c r="K13" s="6" t="str">
        <f aca="false">IF(MIN(C13:G13)&gt;=$F$2,"Pass","Fail")</f>
        <v>Pass</v>
      </c>
      <c r="L13" s="6" t="str">
        <f aca="false">IF(J13&gt;=90,"A+",IF(J13&gt;=80,"A",IF(J13&gt;=70,"B",IF(J13&gt;=60,"C",IF(J13&gt;=40,"D","F")))))</f>
        <v>D</v>
      </c>
      <c r="M13" s="6" t="n">
        <f aca="false">RANK(H13,$H$5:$H$14)</f>
        <v>9</v>
      </c>
    </row>
    <row r="14" customFormat="false" ht="15" hidden="false" customHeight="false" outlineLevel="0" collapsed="false">
      <c r="A14" s="5" t="n">
        <v>110</v>
      </c>
      <c r="B14" s="6" t="s">
        <v>25</v>
      </c>
      <c r="C14" s="6" t="n">
        <v>81</v>
      </c>
      <c r="D14" s="6" t="n">
        <v>77</v>
      </c>
      <c r="E14" s="6" t="n">
        <v>86</v>
      </c>
      <c r="F14" s="6" t="n">
        <v>75</v>
      </c>
      <c r="G14" s="6" t="n">
        <v>88</v>
      </c>
      <c r="H14" s="6" t="n">
        <f aca="false">SUM(C14:G14)</f>
        <v>407</v>
      </c>
      <c r="I14" s="7" t="n">
        <f aca="false">AVERAGE(C14:G14)</f>
        <v>81.4</v>
      </c>
      <c r="J14" s="7" t="n">
        <f aca="false">H14/(5*$C$2)*100</f>
        <v>81.4</v>
      </c>
      <c r="K14" s="6" t="str">
        <f aca="false">IF(MIN(C14:G14)&gt;=$F$2,"Pass","Fail")</f>
        <v>Pass</v>
      </c>
      <c r="L14" s="6" t="str">
        <f aca="false">IF(J14&gt;=90,"A+",IF(J14&gt;=80,"A",IF(J14&gt;=70,"B",IF(J14&gt;=60,"C",IF(J14&gt;=40,"D","F")))))</f>
        <v>A</v>
      </c>
      <c r="M14" s="6" t="n">
        <f aca="false">RANK(H14,$H$5:$H$14)</f>
        <v>4</v>
      </c>
    </row>
    <row r="16" customFormat="false" ht="15" hidden="false" customHeight="false" outlineLevel="0" collapsed="false">
      <c r="B16" s="8" t="s">
        <v>26</v>
      </c>
      <c r="C16" s="9" t="n">
        <f aca="false">MAX(C5:C14)</f>
        <v>95</v>
      </c>
      <c r="D16" s="9" t="n">
        <f aca="false">MAX(D5:D14)</f>
        <v>91</v>
      </c>
      <c r="E16" s="9" t="n">
        <f aca="false">MAX(E5:E14)</f>
        <v>95</v>
      </c>
      <c r="F16" s="9" t="n">
        <f aca="false">MAX(F5:F14)</f>
        <v>93</v>
      </c>
      <c r="G16" s="9" t="n">
        <f aca="false">MAX(G5:G14)</f>
        <v>98</v>
      </c>
      <c r="H16" s="9" t="n">
        <f aca="false">MAX(H5:H14)</f>
        <v>466</v>
      </c>
    </row>
    <row r="17" customFormat="false" ht="15" hidden="false" customHeight="false" outlineLevel="0" collapsed="false">
      <c r="B17" s="8" t="s">
        <v>27</v>
      </c>
      <c r="C17" s="9" t="n">
        <f aca="false">MIN(C5:C14)</f>
        <v>34</v>
      </c>
      <c r="D17" s="9" t="n">
        <f aca="false">MIN(D5:D14)</f>
        <v>45</v>
      </c>
      <c r="E17" s="9" t="n">
        <f aca="false">MIN(E5:E14)</f>
        <v>41</v>
      </c>
      <c r="F17" s="9" t="n">
        <f aca="false">MIN(F5:F14)</f>
        <v>58</v>
      </c>
      <c r="G17" s="9" t="n">
        <f aca="false">MIN(G5:G14)</f>
        <v>58</v>
      </c>
      <c r="H17" s="9" t="n">
        <f aca="false">MIN(H5:H14)</f>
        <v>249</v>
      </c>
    </row>
    <row r="18" customFormat="false" ht="15" hidden="false" customHeight="false" outlineLevel="0" collapsed="false">
      <c r="B18" s="8" t="s">
        <v>28</v>
      </c>
      <c r="C18" s="9" t="n">
        <f aca="false">AVERAGE(C5:C14)</f>
        <v>70.9</v>
      </c>
      <c r="D18" s="9" t="n">
        <f aca="false">AVERAGE(D5:D14)</f>
        <v>69.9</v>
      </c>
      <c r="E18" s="9" t="n">
        <f aca="false">AVERAGE(E5:E14)</f>
        <v>70.9</v>
      </c>
      <c r="F18" s="9" t="n">
        <f aca="false">AVERAGE(F5:F14)</f>
        <v>74.5</v>
      </c>
      <c r="G18" s="9" t="n">
        <f aca="false">AVERAGE(G5:G14)</f>
        <v>79.9</v>
      </c>
      <c r="H18" s="9" t="n">
        <f aca="false">AVERAGE(H5:H14)</f>
        <v>366.1</v>
      </c>
    </row>
    <row r="20" customFormat="false" ht="15" hidden="false" customHeight="false" outlineLevel="0" collapsed="false">
      <c r="A20" s="10" t="s">
        <v>29</v>
      </c>
    </row>
  </sheetData>
  <conditionalFormatting sqref="K5:K14">
    <cfRule type="cellIs" priority="2" operator="equal" aboveAverage="0" equalAverage="0" bottom="0" percent="0" rank="0" text="" dxfId="0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2026-10-12T08:31:10Z</dcterms:created>
  <dc:creator>openpyxl</dc:creator>
  <dc:description/>
  <dc:language>en-US</dc:language>
  <cp:lastModifiedBy/>
  <dcterms:modified xsi:type="dcterms:W3CDTF">2026-10-12T08:31:10Z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